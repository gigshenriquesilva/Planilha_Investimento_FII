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270" documentId="11_A2AD10A8759DC636F8B9D04CEBC31AB345BAD208" xr6:coauthVersionLast="47" xr6:coauthVersionMax="47" xr10:uidLastSave="{0093CBEB-DF51-4EBD-8153-90B02C2B6B48}"/>
  <bookViews>
    <workbookView xWindow="0" yWindow="0" windowWidth="16384" windowHeight="8192" tabRatio="500" xr2:uid="{00000000-000D-0000-FFFF-FFFF00000000}"/>
  </bookViews>
  <sheets>
    <sheet name="Simulador" sheetId="1" r:id="rId1"/>
    <sheet name="Base" sheetId="2" r:id="rId2"/>
  </sheets>
  <definedNames>
    <definedName name="anos">Simulador!$C$15</definedName>
    <definedName name="aporte">Simulador!$C$14</definedName>
    <definedName name="lista_perfis">Base!$A$4:$A$6</definedName>
    <definedName name="patrimonio">Simulador!$C$17</definedName>
    <definedName name="pct_aporte">Simulador!$C$8</definedName>
    <definedName name="perfil">Simulador!$C$11</definedName>
    <definedName name="salario">Simulador!$C$7</definedName>
    <definedName name="sugestao_aporte">Simulador!$C$9</definedName>
    <definedName name="tabela_perfis">Base!$A$10:$D$27</definedName>
    <definedName name="taxa_mensal">Simulador!$C$10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" l="1"/>
  <c r="C19" i="1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B6" i="2"/>
  <c r="B5" i="2"/>
  <c r="B4" i="2"/>
  <c r="B36" i="1"/>
  <c r="C36" i="1" s="1"/>
  <c r="D36" i="1" s="1"/>
  <c r="B35" i="1"/>
  <c r="C35" i="1" s="1"/>
  <c r="D35" i="1" s="1"/>
  <c r="C34" i="1"/>
  <c r="D34" i="1" s="1"/>
  <c r="B33" i="1"/>
  <c r="C33" i="1" s="1"/>
  <c r="D33" i="1" s="1"/>
  <c r="B32" i="1"/>
  <c r="C32" i="1" s="1"/>
  <c r="D32" i="1" s="1"/>
  <c r="B31" i="1"/>
  <c r="C31" i="1" s="1"/>
  <c r="B29" i="1"/>
  <c r="D27" i="1"/>
  <c r="E27" i="1" s="1"/>
  <c r="C27" i="1"/>
  <c r="D26" i="1"/>
  <c r="E26" i="1" s="1"/>
  <c r="C26" i="1"/>
  <c r="D25" i="1"/>
  <c r="E25" i="1" s="1"/>
  <c r="C25" i="1"/>
  <c r="D24" i="1"/>
  <c r="E24" i="1" s="1"/>
  <c r="C24" i="1"/>
  <c r="D23" i="1"/>
  <c r="E23" i="1" s="1"/>
  <c r="C23" i="1"/>
  <c r="C17" i="1"/>
  <c r="C16" i="1"/>
  <c r="C9" i="1"/>
  <c r="E36" i="1" l="1"/>
  <c r="F36" i="1" s="1"/>
  <c r="E35" i="1"/>
  <c r="F35" i="1" s="1"/>
  <c r="E34" i="1"/>
  <c r="F34" i="1" s="1"/>
  <c r="E33" i="1"/>
  <c r="F33" i="1" s="1"/>
  <c r="E32" i="1"/>
  <c r="F32" i="1" s="1"/>
  <c r="E31" i="1"/>
  <c r="C18" i="1"/>
  <c r="C37" i="1"/>
  <c r="D31" i="1"/>
  <c r="D37" i="1" s="1"/>
  <c r="E37" i="1" l="1"/>
  <c r="F31" i="1"/>
  <c r="F37" i="1" s="1"/>
</calcChain>
</file>

<file path=xl/sharedStrings.xml><?xml version="1.0" encoding="utf-8"?>
<sst xmlns="http://schemas.openxmlformats.org/spreadsheetml/2006/main" count="79" uniqueCount="40">
  <si>
    <r>
      <rPr>
        <b/>
        <i/>
        <sz val="24"/>
        <color rgb="FF404040"/>
        <rFont val="Arial"/>
      </rPr>
      <t>GIGS</t>
    </r>
    <r>
      <rPr>
        <b/>
        <i/>
        <sz val="48"/>
        <color rgb="FF404040"/>
        <rFont val="Arial"/>
      </rPr>
      <t>.</t>
    </r>
    <r>
      <rPr>
        <i/>
        <sz val="48"/>
        <color rgb="FF404040"/>
        <rFont val="Arial"/>
      </rPr>
      <t>INVEST</t>
    </r>
  </si>
  <si>
    <t>Configurações</t>
  </si>
  <si>
    <t>Salário mensal</t>
  </si>
  <si>
    <t>% do salário sugerido para aporte</t>
  </si>
  <si>
    <t>Sugestão de aporte mensal</t>
  </si>
  <si>
    <t>Rendimento mensal da carteira</t>
  </si>
  <si>
    <t>Perfil de investidor</t>
  </si>
  <si>
    <t>Moderado</t>
  </si>
  <si>
    <t>Perguntas de Negócio</t>
  </si>
  <si>
    <t>1. Quanto investir por mês</t>
  </si>
  <si>
    <t>2. Por quantos anos</t>
  </si>
  <si>
    <t>3. Taxa de rendimento mensal</t>
  </si>
  <si>
    <t>4. Patrimônio acumulado</t>
  </si>
  <si>
    <t>5. Dividendos mensais</t>
  </si>
  <si>
    <t>Total investido do próprio bolso</t>
  </si>
  <si>
    <t>Projeção do patrimônio por cenário</t>
  </si>
  <si>
    <t>Prazo (anos)</t>
  </si>
  <si>
    <t>Total investido</t>
  </si>
  <si>
    <t>Patrimônio acumulado</t>
  </si>
  <si>
    <t>Dividendos mensais</t>
  </si>
  <si>
    <t>Tipo de fundo</t>
  </si>
  <si>
    <t>% da carteira</t>
  </si>
  <si>
    <t>Aporte mensal</t>
  </si>
  <si>
    <t>Patrimônio no prazo</t>
  </si>
  <si>
    <t>Total</t>
  </si>
  <si>
    <t>Tabelas de apoio (perfis e tipos de fundo)</t>
  </si>
  <si>
    <t>Perfis</t>
  </si>
  <si>
    <t>Soma (deve ser 100%)</t>
  </si>
  <si>
    <t>Conservador</t>
  </si>
  <si>
    <t>Arrojado</t>
  </si>
  <si>
    <t>Chave</t>
  </si>
  <si>
    <t>Perfil</t>
  </si>
  <si>
    <t>Percentual</t>
  </si>
  <si>
    <t>Tijolo - Logística</t>
  </si>
  <si>
    <t>Tijolo - Lajes corporativas</t>
  </si>
  <si>
    <t>Tijolo - Shoppings</t>
  </si>
  <si>
    <t>Papel (CRI)</t>
  </si>
  <si>
    <t>Fundo de fundos (FoF)</t>
  </si>
  <si>
    <t>Desenvolvimento / Híbrido</t>
  </si>
  <si>
    <t>Tipos de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</si>
</sst>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&quot;(R$ &quot;#,##0.00\);\-"/>
    <numFmt numFmtId="165" formatCode="0.00%;\(0.00%\);\-"/>
    <numFmt numFmtId="166" formatCode="0&quot; anos&quot;"/>
  </numFmts>
  <fonts count="17">
    <font>
      <sz val="11"/>
      <color theme="1"/>
      <name val="Calibri"/>
      <family val="2"/>
      <charset val="1"/>
    </font>
    <font>
      <i/>
      <sz val="10"/>
      <name val="Arial"/>
      <charset val="1"/>
    </font>
    <font>
      <b/>
      <sz val="12"/>
      <color rgb="FF1B5E2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14"/>
      <color rgb="FF1B5E20"/>
      <name val="Arial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b/>
      <sz val="11"/>
      <color theme="2" tint="-0.89999084444715716"/>
      <name val="Arial"/>
      <charset val="1"/>
    </font>
    <font>
      <i/>
      <sz val="48"/>
      <color rgb="FF1D1B10"/>
      <name val="Arial"/>
    </font>
    <font>
      <b/>
      <i/>
      <sz val="24"/>
      <color rgb="FF404040"/>
      <name val="Arial"/>
    </font>
    <font>
      <i/>
      <sz val="48"/>
      <color rgb="FF404040"/>
      <name val="Arial"/>
    </font>
    <font>
      <b/>
      <i/>
      <sz val="48"/>
      <color rgb="FF404040"/>
      <name val="Arial"/>
    </font>
    <font>
      <sz val="11"/>
      <color theme="2" tint="-0.8999908444471571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008000"/>
      </patternFill>
    </fill>
    <fill>
      <patternFill patternType="solid">
        <fgColor rgb="FFD9D9D9"/>
        <bgColor rgb="FFBDBDB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medium">
        <color theme="6" tint="-0.499984740745262"/>
      </bottom>
      <diagonal/>
    </border>
    <border>
      <left style="thin">
        <color rgb="FFBDBDBD"/>
      </left>
      <right style="thick">
        <color theme="6" tint="-0.499984740745262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2" xfId="0" applyFont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  <xf numFmtId="0" fontId="4" fillId="0" borderId="2" xfId="0" applyFont="1" applyBorder="1"/>
    <xf numFmtId="164" fontId="4" fillId="3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9" fontId="3" fillId="3" borderId="2" xfId="0" applyNumberFormat="1" applyFont="1" applyFill="1" applyBorder="1"/>
    <xf numFmtId="0" fontId="4" fillId="3" borderId="2" xfId="0" applyFont="1" applyFill="1" applyBorder="1"/>
    <xf numFmtId="9" fontId="4" fillId="3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2" xfId="0" applyFont="1" applyFill="1" applyBorder="1"/>
    <xf numFmtId="0" fontId="3" fillId="3" borderId="2" xfId="0" applyFont="1" applyFill="1" applyBorder="1"/>
    <xf numFmtId="166" fontId="10" fillId="4" borderId="2" xfId="0" applyNumberFormat="1" applyFont="1" applyFill="1" applyBorder="1" applyAlignment="1">
      <alignment horizontal="center"/>
    </xf>
    <xf numFmtId="164" fontId="9" fillId="4" borderId="2" xfId="0" applyNumberFormat="1" applyFont="1" applyFill="1" applyBorder="1"/>
    <xf numFmtId="9" fontId="9" fillId="4" borderId="2" xfId="0" applyNumberFormat="1" applyFont="1" applyFill="1" applyBorder="1"/>
    <xf numFmtId="165" fontId="9" fillId="4" borderId="2" xfId="0" applyNumberFormat="1" applyFont="1" applyFill="1" applyBorder="1"/>
    <xf numFmtId="1" fontId="9" fillId="4" borderId="2" xfId="0" applyNumberFormat="1" applyFont="1" applyFill="1" applyBorder="1"/>
    <xf numFmtId="0" fontId="0" fillId="0" borderId="0" xfId="0" applyBorder="1"/>
    <xf numFmtId="0" fontId="9" fillId="5" borderId="2" xfId="0" applyFont="1" applyFill="1" applyBorder="1" applyAlignment="1">
      <alignment horizontal="center"/>
    </xf>
    <xf numFmtId="0" fontId="11" fillId="0" borderId="2" xfId="0" applyFont="1" applyBorder="1"/>
    <xf numFmtId="0" fontId="12" fillId="6" borderId="0" xfId="0" applyFont="1" applyFill="1" applyBorder="1" applyAlignment="1">
      <alignment horizontal="center" vertical="center"/>
    </xf>
    <xf numFmtId="0" fontId="16" fillId="7" borderId="2" xfId="0" applyFont="1" applyFill="1" applyBorder="1"/>
    <xf numFmtId="9" fontId="16" fillId="7" borderId="2" xfId="0" applyNumberFormat="1" applyFont="1" applyFill="1" applyBorder="1"/>
    <xf numFmtId="0" fontId="1" fillId="6" borderId="0" xfId="0" applyFont="1" applyFill="1" applyBorder="1"/>
    <xf numFmtId="164" fontId="9" fillId="4" borderId="4" xfId="0" applyNumberFormat="1" applyFont="1" applyFill="1" applyBorder="1"/>
    <xf numFmtId="0" fontId="14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AA8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Patrimônio por prazo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Simulador!D22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solidFill>
              <a:srgbClr val="76933C"/>
            </a:solidFill>
            <a:ln w="12700" cap="flat" cmpd="sng" algn="ctr">
              <a:solidFill>
                <a:srgbClr val="F2F2F2"/>
              </a:solidFill>
              <a:prstDash val="solid"/>
              <a:round/>
              <a:headEnd type="none" w="med" len="med"/>
              <a:tailEnd type="none" w="med" len="me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Simulador!$B$23:$B$27</c:f>
              <c:numCache>
                <c:formatCode>0" anos"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Simulador!$D$23:$D$27</c:f>
              <c:numCache>
                <c:formatCode>"R$ "#,##0.00;"(R$ "#,##0.00\);\-</c:formatCode>
                <c:ptCount val="5"/>
                <c:pt idx="0">
                  <c:v>13645.754347559934</c:v>
                </c:pt>
                <c:pt idx="1">
                  <c:v>39691.163018913954</c:v>
                </c:pt>
                <c:pt idx="2">
                  <c:v>103712.64915433759</c:v>
                </c:pt>
                <c:pt idx="3">
                  <c:v>373545.97158451652</c:v>
                </c:pt>
                <c:pt idx="4">
                  <c:v>1075582.0538502221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E-4C40-90EE-335266BCF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489204"/>
        <c:axId val="51486470"/>
      </c:barChart>
      <c:catAx>
        <c:axId val="74489204"/>
        <c:scaling>
          <c:orientation val="minMax"/>
        </c:scaling>
        <c:delete val="0"/>
        <c:axPos val="b"/>
        <c:numFmt formatCode="0&quot; anos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86470"/>
        <c:crosses val="autoZero"/>
        <c:auto val="1"/>
        <c:lblAlgn val="ctr"/>
        <c:lblOffset val="100"/>
        <c:noMultiLvlLbl val="0"/>
      </c:catAx>
      <c:valAx>
        <c:axId val="51486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89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2F2F2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BE-48E4-B15B-EA83198A0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BE-48E4-B15B-EA83198A0A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BE-48E4-B15B-EA83198A0A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E-48E4-B15B-EA83198A0A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BE-48E4-B15B-EA83198A0A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BE-48E4-B15B-EA83198A0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Simulador!$B$31:$B$36</c:f>
              <c:strCache>
                <c:ptCount val="6"/>
                <c:pt idx="0">
                  <c:v>Tijolo - Logística</c:v>
                </c:pt>
                <c:pt idx="1">
                  <c:v>Tijolo - Lajes corporativas</c:v>
                </c:pt>
                <c:pt idx="2">
                  <c:v>Tijolo - Shoppings</c:v>
                </c:pt>
                <c:pt idx="3">
                  <c:v>Papel (CRI)</c:v>
                </c:pt>
                <c:pt idx="4">
                  <c:v>Fundo de fundos (FoF)</c:v>
                </c:pt>
                <c:pt idx="5">
                  <c:v>Desenvolvimento / Híbrido</c:v>
                </c:pt>
              </c:strCache>
            </c:strRef>
          </c:cat>
          <c:val>
            <c:numRef>
              <c:f>Simulador!$C$31:$C$36</c:f>
              <c:numCache>
                <c:formatCode>0%</c:formatCode>
                <c:ptCount val="6"/>
                <c:pt idx="0">
                  <c:v>0.25</c:v>
                </c:pt>
                <c:pt idx="1">
                  <c:v>0.15</c:v>
                </c:pt>
                <c:pt idx="2">
                  <c:v>0.2</c:v>
                </c:pt>
                <c:pt idx="3">
                  <c:v>0.2</c:v>
                </c:pt>
                <c:pt idx="4">
                  <c:v>0.15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848-4E65-B2F6-6E42C66E7B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26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9D9D9"/>
        </a:solidFill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38</xdr:row>
      <xdr:rowOff>19050</xdr:rowOff>
    </xdr:from>
    <xdr:to>
      <xdr:col>5</xdr:col>
      <xdr:colOff>1581150</xdr:colOff>
      <xdr:row>53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54</xdr:row>
      <xdr:rowOff>9525</xdr:rowOff>
    </xdr:from>
    <xdr:to>
      <xdr:col>5</xdr:col>
      <xdr:colOff>1571625</xdr:colOff>
      <xdr:row>69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3A18E3-D029-2340-1BB4-268F58AAC30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"/>
  <sheetViews>
    <sheetView showGridLines="0" tabSelected="1" zoomScaleNormal="100" workbookViewId="0">
      <selection activeCell="P20" sqref="P20"/>
    </sheetView>
  </sheetViews>
  <sheetFormatPr defaultColWidth="8.7109375" defaultRowHeight="15"/>
  <cols>
    <col min="1" max="1" width="3" customWidth="1"/>
    <col min="2" max="2" width="40" customWidth="1"/>
    <col min="3" max="4" width="22" customWidth="1"/>
    <col min="5" max="6" width="24" customWidth="1"/>
    <col min="7" max="7" width="3" customWidth="1"/>
  </cols>
  <sheetData>
    <row r="1" spans="2:6">
      <c r="B1" s="31" t="s">
        <v>0</v>
      </c>
      <c r="C1" s="32"/>
      <c r="D1" s="32"/>
      <c r="E1" s="32"/>
      <c r="F1" s="32"/>
    </row>
    <row r="2" spans="2:6" ht="15" customHeight="1">
      <c r="B2" s="32"/>
      <c r="C2" s="32"/>
      <c r="D2" s="32"/>
      <c r="E2" s="32"/>
      <c r="F2" s="32"/>
    </row>
    <row r="3" spans="2:6" ht="15" customHeight="1">
      <c r="B3" s="32"/>
      <c r="C3" s="32"/>
      <c r="D3" s="32"/>
      <c r="E3" s="32"/>
      <c r="F3" s="32"/>
    </row>
    <row r="4" spans="2:6" ht="15" customHeight="1">
      <c r="B4" s="33"/>
      <c r="C4" s="33"/>
      <c r="D4" s="33"/>
      <c r="E4" s="33"/>
      <c r="F4" s="33"/>
    </row>
    <row r="5" spans="2:6" ht="15" customHeight="1">
      <c r="B5" s="26"/>
      <c r="C5" s="26"/>
      <c r="D5" s="26"/>
      <c r="E5" s="26"/>
      <c r="F5" s="26"/>
    </row>
    <row r="6" spans="2:6" ht="15.75">
      <c r="B6" s="2" t="s">
        <v>1</v>
      </c>
      <c r="C6" s="3"/>
      <c r="D6" s="3"/>
      <c r="E6" s="3"/>
      <c r="F6" s="3"/>
    </row>
    <row r="7" spans="2:6">
      <c r="B7" s="4" t="s">
        <v>2</v>
      </c>
      <c r="C7" s="19">
        <v>2590</v>
      </c>
    </row>
    <row r="8" spans="2:6">
      <c r="B8" s="4" t="s">
        <v>3</v>
      </c>
      <c r="C8" s="20">
        <v>0.2</v>
      </c>
    </row>
    <row r="9" spans="2:6">
      <c r="B9" s="4" t="s">
        <v>4</v>
      </c>
      <c r="C9" s="5">
        <f>salario*pct_aporte</f>
        <v>518</v>
      </c>
    </row>
    <row r="10" spans="2:6">
      <c r="B10" s="4" t="s">
        <v>5</v>
      </c>
      <c r="C10" s="21">
        <v>8.0000000000000002E-3</v>
      </c>
    </row>
    <row r="11" spans="2:6">
      <c r="B11" s="4" t="s">
        <v>6</v>
      </c>
      <c r="C11" s="24" t="s">
        <v>7</v>
      </c>
    </row>
    <row r="13" spans="2:6" ht="15.75">
      <c r="B13" s="2" t="s">
        <v>8</v>
      </c>
      <c r="C13" s="3"/>
      <c r="D13" s="23"/>
      <c r="E13" s="23"/>
      <c r="F13" s="23"/>
    </row>
    <row r="14" spans="2:6">
      <c r="B14" s="4" t="s">
        <v>9</v>
      </c>
      <c r="C14" s="30">
        <v>518</v>
      </c>
      <c r="D14" s="29"/>
      <c r="E14" s="23"/>
      <c r="F14" s="23"/>
    </row>
    <row r="15" spans="2:6">
      <c r="B15" s="4" t="s">
        <v>10</v>
      </c>
      <c r="C15" s="22">
        <v>10</v>
      </c>
    </row>
    <row r="16" spans="2:6">
      <c r="B16" s="4" t="s">
        <v>11</v>
      </c>
      <c r="C16" s="6">
        <f>taxa_mensal</f>
        <v>8.0000000000000002E-3</v>
      </c>
    </row>
    <row r="17" spans="2:6">
      <c r="B17" s="7" t="s">
        <v>12</v>
      </c>
      <c r="C17" s="8">
        <f>FV(taxa_mensal,anos*12,-aporte)</f>
        <v>103712.64915433759</v>
      </c>
    </row>
    <row r="18" spans="2:6">
      <c r="B18" s="7" t="s">
        <v>13</v>
      </c>
      <c r="C18" s="8">
        <f>patrimonio*taxa_mensal</f>
        <v>829.70119323470078</v>
      </c>
    </row>
    <row r="19" spans="2:6">
      <c r="B19" s="4" t="s">
        <v>14</v>
      </c>
      <c r="C19" s="5">
        <f>aporte*anos*12</f>
        <v>62160</v>
      </c>
    </row>
    <row r="21" spans="2:6">
      <c r="B21" s="2" t="s">
        <v>15</v>
      </c>
      <c r="C21" s="3"/>
      <c r="D21" s="3"/>
      <c r="E21" s="3"/>
      <c r="F21" s="3"/>
    </row>
    <row r="22" spans="2:6">
      <c r="B22" s="9" t="s">
        <v>16</v>
      </c>
      <c r="C22" s="9" t="s">
        <v>17</v>
      </c>
      <c r="D22" s="9" t="s">
        <v>18</v>
      </c>
      <c r="E22" s="9" t="s">
        <v>19</v>
      </c>
    </row>
    <row r="23" spans="2:6">
      <c r="B23" s="18">
        <v>2</v>
      </c>
      <c r="C23" s="5">
        <f>aporte*B23*12</f>
        <v>12432</v>
      </c>
      <c r="D23" s="5">
        <f>FV(taxa_mensal,B23*12,-aporte)</f>
        <v>13645.754347559934</v>
      </c>
      <c r="E23" s="5">
        <f>D23*taxa_mensal</f>
        <v>109.16603478047948</v>
      </c>
    </row>
    <row r="24" spans="2:6">
      <c r="B24" s="18">
        <v>5</v>
      </c>
      <c r="C24" s="5">
        <f>aporte*B24*12</f>
        <v>31080</v>
      </c>
      <c r="D24" s="5">
        <f>FV(taxa_mensal,B24*12,-aporte)</f>
        <v>39691.163018913954</v>
      </c>
      <c r="E24" s="5">
        <f>D24*taxa_mensal</f>
        <v>317.52930415131163</v>
      </c>
    </row>
    <row r="25" spans="2:6">
      <c r="B25" s="18">
        <v>10</v>
      </c>
      <c r="C25" s="5">
        <f>aporte*B25*12</f>
        <v>62160</v>
      </c>
      <c r="D25" s="5">
        <f>FV(taxa_mensal,B25*12,-aporte)</f>
        <v>103712.64915433759</v>
      </c>
      <c r="E25" s="5">
        <f>D25*taxa_mensal</f>
        <v>829.70119323470078</v>
      </c>
    </row>
    <row r="26" spans="2:6">
      <c r="B26" s="18">
        <v>20</v>
      </c>
      <c r="C26" s="5">
        <f>aporte*B26*12</f>
        <v>124320</v>
      </c>
      <c r="D26" s="5">
        <f>FV(taxa_mensal,B26*12,-aporte)</f>
        <v>373545.97158451652</v>
      </c>
      <c r="E26" s="5">
        <f>D26*taxa_mensal</f>
        <v>2988.3677726761321</v>
      </c>
    </row>
    <row r="27" spans="2:6">
      <c r="B27" s="18">
        <v>30</v>
      </c>
      <c r="C27" s="5">
        <f>aporte*B27*12</f>
        <v>186480</v>
      </c>
      <c r="D27" s="5">
        <f>FV(taxa_mensal,B27*12,-aporte)</f>
        <v>1075582.0538502221</v>
      </c>
      <c r="E27" s="5">
        <f>D27*taxa_mensal</f>
        <v>8604.6564308017769</v>
      </c>
    </row>
    <row r="29" spans="2:6">
      <c r="B29" s="2" t="str">
        <f>"Divisão do aporte — perfil "&amp;perfil</f>
        <v>Divisão do aporte — perfil Moderado</v>
      </c>
      <c r="C29" s="3"/>
      <c r="D29" s="3"/>
      <c r="E29" s="3"/>
      <c r="F29" s="3"/>
    </row>
    <row r="30" spans="2:6">
      <c r="B30" s="9" t="s">
        <v>20</v>
      </c>
      <c r="C30" s="9" t="s">
        <v>21</v>
      </c>
      <c r="D30" s="9" t="s">
        <v>22</v>
      </c>
      <c r="E30" s="9" t="s">
        <v>23</v>
      </c>
      <c r="F30" s="9" t="s">
        <v>19</v>
      </c>
    </row>
    <row r="31" spans="2:6">
      <c r="B31" s="25" t="str">
        <f>Base!$F$17</f>
        <v>Tijolo - Logística</v>
      </c>
      <c r="C31" s="10">
        <f>VLOOKUP(perfil&amp;"|"&amp;B31,tabela_perfis,4,FALSE())</f>
        <v>0.25</v>
      </c>
      <c r="D31" s="5">
        <f>aporte*C31</f>
        <v>129.5</v>
      </c>
      <c r="E31" s="5">
        <f>patrimonio*C31</f>
        <v>25928.162288584397</v>
      </c>
      <c r="F31" s="5">
        <f>E31*taxa_mensal</f>
        <v>207.4252983086752</v>
      </c>
    </row>
    <row r="32" spans="2:6">
      <c r="B32" s="25" t="str">
        <f>Base!$F$18</f>
        <v>Tijolo - Lajes corporativas</v>
      </c>
      <c r="C32" s="10">
        <f>VLOOKUP(perfil&amp;"|"&amp;B32,tabela_perfis,4,FALSE())</f>
        <v>0.15</v>
      </c>
      <c r="D32" s="5">
        <f>aporte*C32</f>
        <v>77.7</v>
      </c>
      <c r="E32" s="5">
        <f>patrimonio*C32</f>
        <v>15556.897373150638</v>
      </c>
      <c r="F32" s="5">
        <f>E32*taxa_mensal</f>
        <v>124.45517898520511</v>
      </c>
    </row>
    <row r="33" spans="2:6">
      <c r="B33" s="25" t="str">
        <f>Base!$F$19</f>
        <v>Tijolo - Shoppings</v>
      </c>
      <c r="C33" s="10">
        <f>VLOOKUP(perfil&amp;"|"&amp;B33,tabela_perfis,4,FALSE())</f>
        <v>0.2</v>
      </c>
      <c r="D33" s="5">
        <f>aporte*C33</f>
        <v>103.60000000000001</v>
      </c>
      <c r="E33" s="5">
        <f>patrimonio*C33</f>
        <v>20742.529830867519</v>
      </c>
      <c r="F33" s="5">
        <f>E33*taxa_mensal</f>
        <v>165.94023864694014</v>
      </c>
    </row>
    <row r="34" spans="2:6">
      <c r="B34" s="25" t="str">
        <f>Base!$F$20</f>
        <v>Papel (CRI)</v>
      </c>
      <c r="C34" s="10">
        <f>VLOOKUP(perfil&amp;"|"&amp;B34,tabela_perfis,4,FALSE())</f>
        <v>0.2</v>
      </c>
      <c r="D34" s="5">
        <f>aporte*C34</f>
        <v>103.60000000000001</v>
      </c>
      <c r="E34" s="5">
        <f>patrimonio*C34</f>
        <v>20742.529830867519</v>
      </c>
      <c r="F34" s="5">
        <f>E34*taxa_mensal</f>
        <v>165.94023864694014</v>
      </c>
    </row>
    <row r="35" spans="2:6">
      <c r="B35" s="25" t="str">
        <f>Base!$F$21</f>
        <v>Fundo de fundos (FoF)</v>
      </c>
      <c r="C35" s="10">
        <f>VLOOKUP(perfil&amp;"|"&amp;B35,tabela_perfis,4,FALSE())</f>
        <v>0.15</v>
      </c>
      <c r="D35" s="5">
        <f>aporte*C35</f>
        <v>77.7</v>
      </c>
      <c r="E35" s="5">
        <f>patrimonio*C35</f>
        <v>15556.897373150638</v>
      </c>
      <c r="F35" s="5">
        <f>E35*taxa_mensal</f>
        <v>124.45517898520511</v>
      </c>
    </row>
    <row r="36" spans="2:6">
      <c r="B36" s="25" t="str">
        <f>Base!$F$22</f>
        <v>Desenvolvimento / Híbrido</v>
      </c>
      <c r="C36" s="10">
        <f>VLOOKUP(perfil&amp;"|"&amp;B36,tabela_perfis,4,FALSE())</f>
        <v>0.05</v>
      </c>
      <c r="D36" s="5">
        <f>aporte*C36</f>
        <v>25.900000000000002</v>
      </c>
      <c r="E36" s="5">
        <f>patrimonio*C36</f>
        <v>5185.6324577168798</v>
      </c>
      <c r="F36" s="5">
        <f>E36*taxa_mensal</f>
        <v>41.485059661735036</v>
      </c>
    </row>
    <row r="37" spans="2:6">
      <c r="B37" s="11" t="s">
        <v>24</v>
      </c>
      <c r="C37" s="12">
        <f>SUM(C31:C36)</f>
        <v>1</v>
      </c>
      <c r="D37" s="8">
        <f>SUM(D31:D36)</f>
        <v>518</v>
      </c>
      <c r="E37" s="8">
        <f>SUM(E31:E36)</f>
        <v>103712.6491543376</v>
      </c>
      <c r="F37" s="8">
        <f>SUM(F31:F36)</f>
        <v>829.70119323470067</v>
      </c>
    </row>
    <row r="39" spans="2:6">
      <c r="B39" s="13"/>
    </row>
    <row r="40" spans="2:6">
      <c r="B40" s="14"/>
    </row>
    <row r="41" spans="2:6">
      <c r="B41" s="14"/>
    </row>
    <row r="42" spans="2:6">
      <c r="B42" s="14"/>
    </row>
    <row r="43" spans="2:6">
      <c r="B43" s="14"/>
    </row>
  </sheetData>
  <mergeCells count="1">
    <mergeCell ref="B1:F4"/>
  </mergeCells>
  <dataValidations count="4">
    <dataValidation type="list" showErrorMessage="1" errorTitle="Perfil inválido" error="Escolha um perfil da lista." sqref="C11" xr:uid="{00000000-0002-0000-0000-000000000000}">
      <formula1>lista_perfis</formula1>
      <formula2>0</formula2>
    </dataValidation>
    <dataValidation type="whole" showErrorMessage="1" errorTitle="Prazo inválido" error="Informe um número inteiro de anos entre 1 e 50." sqref="C15" xr:uid="{00000000-0002-0000-0000-000001000000}">
      <formula1>1</formula1>
      <formula2>50</formula2>
    </dataValidation>
    <dataValidation type="decimal" operator="greaterThanOrEqual" showErrorMessage="1" errorTitle="Valor inválido" error="Informe um valor maior ou igual a zero." sqref="C7 C14" xr:uid="{00000000-0002-0000-0000-000002000000}">
      <formula1>0</formula1>
      <formula2>0</formula2>
    </dataValidation>
    <dataValidation type="decimal" showErrorMessage="1" errorTitle="Taxa inválida" error="Informe a taxa mensal entre 0% e 5%." sqref="C10" xr:uid="{00000000-0002-0000-0000-000003000000}">
      <formula1>0</formula1>
      <formula2>0.05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zoomScaleNormal="100" workbookViewId="0">
      <selection activeCell="K8" sqref="K8"/>
    </sheetView>
  </sheetViews>
  <sheetFormatPr defaultColWidth="8.7109375" defaultRowHeight="15"/>
  <cols>
    <col min="1" max="1" width="54.42578125" customWidth="1"/>
    <col min="2" max="2" width="22" customWidth="1"/>
    <col min="3" max="3" width="30" customWidth="1"/>
    <col min="4" max="4" width="14" customWidth="1"/>
    <col min="5" max="5" width="4" customWidth="1"/>
    <col min="6" max="6" width="30" customWidth="1"/>
  </cols>
  <sheetData>
    <row r="1" spans="1:6" ht="17.45">
      <c r="A1" s="15" t="s">
        <v>25</v>
      </c>
    </row>
    <row r="3" spans="1:6">
      <c r="A3" s="16" t="s">
        <v>26</v>
      </c>
      <c r="B3" s="16" t="s">
        <v>27</v>
      </c>
    </row>
    <row r="4" spans="1:6">
      <c r="A4" s="27" t="s">
        <v>28</v>
      </c>
      <c r="B4" s="10">
        <f>SUMIF($B$10:$B$27,A4,$D$10:$D$27)</f>
        <v>1</v>
      </c>
    </row>
    <row r="5" spans="1:6">
      <c r="A5" s="27" t="s">
        <v>7</v>
      </c>
      <c r="B5" s="10">
        <f>SUMIF($B$10:$B$27,A5,$D$10:$D$27)</f>
        <v>1</v>
      </c>
    </row>
    <row r="6" spans="1:6">
      <c r="A6" s="27" t="s">
        <v>29</v>
      </c>
      <c r="B6" s="10">
        <f>SUMIF($B$10:$B$27,A6,$D$10:$D$27)</f>
        <v>1</v>
      </c>
    </row>
    <row r="9" spans="1:6">
      <c r="A9" s="16" t="s">
        <v>30</v>
      </c>
      <c r="B9" s="16" t="s">
        <v>31</v>
      </c>
      <c r="C9" s="16" t="s">
        <v>20</v>
      </c>
      <c r="D9" s="16" t="s">
        <v>32</v>
      </c>
    </row>
    <row r="10" spans="1:6">
      <c r="A10" s="17" t="str">
        <f>B10&amp;"|"&amp;C10</f>
        <v>Conservador|Tijolo - Logística</v>
      </c>
      <c r="B10" s="27" t="s">
        <v>28</v>
      </c>
      <c r="C10" s="27" t="s">
        <v>33</v>
      </c>
      <c r="D10" s="28">
        <v>0.2</v>
      </c>
    </row>
    <row r="11" spans="1:6">
      <c r="A11" s="17" t="str">
        <f>B11&amp;"|"&amp;C11</f>
        <v>Conservador|Tijolo - Lajes corporativas</v>
      </c>
      <c r="B11" s="27" t="s">
        <v>28</v>
      </c>
      <c r="C11" s="27" t="s">
        <v>34</v>
      </c>
      <c r="D11" s="28">
        <v>0.1</v>
      </c>
    </row>
    <row r="12" spans="1:6">
      <c r="A12" s="17" t="str">
        <f>B12&amp;"|"&amp;C12</f>
        <v>Conservador|Tijolo - Shoppings</v>
      </c>
      <c r="B12" s="27" t="s">
        <v>28</v>
      </c>
      <c r="C12" s="27" t="s">
        <v>35</v>
      </c>
      <c r="D12" s="28">
        <v>0.15</v>
      </c>
    </row>
    <row r="13" spans="1:6">
      <c r="A13" s="17" t="str">
        <f>B13&amp;"|"&amp;C13</f>
        <v>Conservador|Papel (CRI)</v>
      </c>
      <c r="B13" s="27" t="s">
        <v>28</v>
      </c>
      <c r="C13" s="27" t="s">
        <v>36</v>
      </c>
      <c r="D13" s="28">
        <v>0.35</v>
      </c>
    </row>
    <row r="14" spans="1:6">
      <c r="A14" s="17" t="str">
        <f>B14&amp;"|"&amp;C14</f>
        <v>Conservador|Fundo de fundos (FoF)</v>
      </c>
      <c r="B14" s="27" t="s">
        <v>28</v>
      </c>
      <c r="C14" s="27" t="s">
        <v>37</v>
      </c>
      <c r="D14" s="28">
        <v>0.2</v>
      </c>
    </row>
    <row r="15" spans="1:6">
      <c r="A15" s="17" t="str">
        <f>B15&amp;"|"&amp;C15</f>
        <v>Conservador|Desenvolvimento / Híbrido</v>
      </c>
      <c r="B15" s="27" t="s">
        <v>28</v>
      </c>
      <c r="C15" s="27" t="s">
        <v>38</v>
      </c>
      <c r="D15" s="28">
        <v>0</v>
      </c>
    </row>
    <row r="16" spans="1:6">
      <c r="A16" s="17" t="str">
        <f>B16&amp;"|"&amp;C16</f>
        <v>Moderado|Tijolo - Logística</v>
      </c>
      <c r="B16" s="27" t="s">
        <v>7</v>
      </c>
      <c r="C16" s="27" t="s">
        <v>33</v>
      </c>
      <c r="D16" s="28">
        <v>0.25</v>
      </c>
      <c r="F16" s="16" t="s">
        <v>39</v>
      </c>
    </row>
    <row r="17" spans="1:6">
      <c r="A17" s="17" t="str">
        <f>B17&amp;"|"&amp;C17</f>
        <v>Moderado|Tijolo - Lajes corporativas</v>
      </c>
      <c r="B17" s="27" t="s">
        <v>7</v>
      </c>
      <c r="C17" s="27" t="s">
        <v>34</v>
      </c>
      <c r="D17" s="28">
        <v>0.15</v>
      </c>
      <c r="F17" s="27" t="s">
        <v>33</v>
      </c>
    </row>
    <row r="18" spans="1:6">
      <c r="A18" s="17" t="str">
        <f>B18&amp;"|"&amp;C18</f>
        <v>Moderado|Tijolo - Shoppings</v>
      </c>
      <c r="B18" s="27" t="s">
        <v>7</v>
      </c>
      <c r="C18" s="27" t="s">
        <v>35</v>
      </c>
      <c r="D18" s="28">
        <v>0.2</v>
      </c>
      <c r="F18" s="27" t="s">
        <v>34</v>
      </c>
    </row>
    <row r="19" spans="1:6">
      <c r="A19" s="17" t="str">
        <f>B19&amp;"|"&amp;C19</f>
        <v>Moderado|Papel (CRI)</v>
      </c>
      <c r="B19" s="27" t="s">
        <v>7</v>
      </c>
      <c r="C19" s="27" t="s">
        <v>36</v>
      </c>
      <c r="D19" s="28">
        <v>0.2</v>
      </c>
      <c r="F19" s="27" t="s">
        <v>35</v>
      </c>
    </row>
    <row r="20" spans="1:6">
      <c r="A20" s="17" t="str">
        <f>B20&amp;"|"&amp;C20</f>
        <v>Moderado|Fundo de fundos (FoF)</v>
      </c>
      <c r="B20" s="27" t="s">
        <v>7</v>
      </c>
      <c r="C20" s="27" t="s">
        <v>37</v>
      </c>
      <c r="D20" s="28">
        <v>0.15</v>
      </c>
      <c r="F20" s="27" t="s">
        <v>36</v>
      </c>
    </row>
    <row r="21" spans="1:6">
      <c r="A21" s="17" t="str">
        <f>B21&amp;"|"&amp;C21</f>
        <v>Moderado|Desenvolvimento / Híbrido</v>
      </c>
      <c r="B21" s="27" t="s">
        <v>7</v>
      </c>
      <c r="C21" s="27" t="s">
        <v>38</v>
      </c>
      <c r="D21" s="28">
        <v>0.05</v>
      </c>
      <c r="F21" s="27" t="s">
        <v>37</v>
      </c>
    </row>
    <row r="22" spans="1:6">
      <c r="A22" s="17" t="str">
        <f>B22&amp;"|"&amp;C22</f>
        <v>Arrojado|Tijolo - Logística</v>
      </c>
      <c r="B22" s="27" t="s">
        <v>29</v>
      </c>
      <c r="C22" s="27" t="s">
        <v>33</v>
      </c>
      <c r="D22" s="28">
        <v>0.2</v>
      </c>
      <c r="F22" s="27" t="s">
        <v>38</v>
      </c>
    </row>
    <row r="23" spans="1:6">
      <c r="A23" s="17" t="str">
        <f>B23&amp;"|"&amp;C23</f>
        <v>Arrojado|Tijolo - Lajes corporativas</v>
      </c>
      <c r="B23" s="27" t="s">
        <v>29</v>
      </c>
      <c r="C23" s="27" t="s">
        <v>34</v>
      </c>
      <c r="D23" s="28">
        <v>0.15</v>
      </c>
    </row>
    <row r="24" spans="1:6">
      <c r="A24" s="17" t="str">
        <f>B24&amp;"|"&amp;C24</f>
        <v>Arrojado|Tijolo - Shoppings</v>
      </c>
      <c r="B24" s="27" t="s">
        <v>29</v>
      </c>
      <c r="C24" s="27" t="s">
        <v>35</v>
      </c>
      <c r="D24" s="28">
        <v>0.2</v>
      </c>
    </row>
    <row r="25" spans="1:6">
      <c r="A25" s="17" t="str">
        <f>B25&amp;"|"&amp;C25</f>
        <v>Arrojado|Papel (CRI)</v>
      </c>
      <c r="B25" s="27" t="s">
        <v>29</v>
      </c>
      <c r="C25" s="27" t="s">
        <v>36</v>
      </c>
      <c r="D25" s="28">
        <v>0.1</v>
      </c>
    </row>
    <row r="26" spans="1:6">
      <c r="A26" s="17" t="str">
        <f>B26&amp;"|"&amp;C26</f>
        <v>Arrojado|Fundo de fundos (FoF)</v>
      </c>
      <c r="B26" s="27" t="s">
        <v>29</v>
      </c>
      <c r="C26" s="27" t="s">
        <v>37</v>
      </c>
      <c r="D26" s="28">
        <v>0.15</v>
      </c>
    </row>
    <row r="27" spans="1:6">
      <c r="A27" s="17" t="str">
        <f>B27&amp;"|"&amp;C27</f>
        <v>Arrojado|Desenvolvimento / Híbrido</v>
      </c>
      <c r="B27" s="27" t="s">
        <v>29</v>
      </c>
      <c r="C27" s="27" t="s">
        <v>38</v>
      </c>
      <c r="D27" s="28">
        <v>0.2</v>
      </c>
    </row>
    <row r="29" spans="1:6">
      <c r="A29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Henrique de Sousa Silva</cp:lastModifiedBy>
  <cp:revision>1</cp:revision>
  <dcterms:created xsi:type="dcterms:W3CDTF">2026-10-03T13:50:12Z</dcterms:created>
  <dcterms:modified xsi:type="dcterms:W3CDTF">2026-10-03T15:01:25Z</dcterms:modified>
  <cp:category/>
  <cp:contentStatus/>
</cp:coreProperties>
</file>